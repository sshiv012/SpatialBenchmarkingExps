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 Results" sheetId="1" r:id="rId5"/>
  </sheets>
  <definedNames/>
  <calcPr/>
</workbook>
</file>

<file path=xl/sharedStrings.xml><?xml version="1.0" encoding="utf-8"?>
<sst xmlns="http://schemas.openxmlformats.org/spreadsheetml/2006/main" count="163" uniqueCount="113">
  <si>
    <t>1. Data Loading &amp; Index Creation (seconds)</t>
  </si>
  <si>
    <t>USA</t>
  </si>
  <si>
    <t>Western Hemisphere</t>
  </si>
  <si>
    <t>Whole World</t>
  </si>
  <si>
    <t>Operation</t>
  </si>
  <si>
    <t>Buildings</t>
  </si>
  <si>
    <t>All Nodes</t>
  </si>
  <si>
    <t>Data Loading</t>
  </si>
  <si>
    <t>Index Creation</t>
  </si>
  <si>
    <t>Note: 12-node cluster. Buildings and All Nodes separated for comparison.</t>
  </si>
  <si>
    <t>2. PBSM Spatial Join — Default vs Optimized Grid (seconds)</t>
  </si>
  <si>
    <t>Configuration</t>
  </si>
  <si>
    <t>W. Hemisphere</t>
  </si>
  <si>
    <t>PBSM default 100×100 grid (JTS)</t>
  </si>
  <si>
    <t>PBSM optimized 1.2M×1.2M grid (JTS)</t>
  </si>
  <si>
    <t>Speedup (×)</t>
  </si>
  <si>
    <t>Note: Optimized grid = 1,200,000×1,200,000 partitions. Default = 100×100.</t>
  </si>
  <si>
    <t>3. PBSM Grid Size Tuning — Whole World (seconds)</t>
  </si>
  <si>
    <t>Grid Size</t>
  </si>
  <si>
    <t>Time (s)</t>
  </si>
  <si>
    <t>Notes</t>
  </si>
  <si>
    <t>Optimal region</t>
  </si>
  <si>
    <t>Performance degrades</t>
  </si>
  <si>
    <t>Note: Grid size ~1.2M offers best trade-off. Larger grids cause excessive overhead.</t>
  </si>
  <si>
    <t>4. Broadcast Join vs Indexed-Broadcast Join (seconds)</t>
  </si>
  <si>
    <t>Filter (Records)</t>
  </si>
  <si>
    <t>Broadcast</t>
  </si>
  <si>
    <t>Indexed</t>
  </si>
  <si>
    <t>Riverside (159)</t>
  </si>
  <si>
    <t>LA County (49,175)</t>
  </si>
  <si>
    <t>California (389,531)</t>
  </si>
  <si>
    <t>Note: Indexed broadcast excels at low selectivity (Riverside) but degrades for large filters (California).</t>
  </si>
  <si>
    <t>5. Spatial Join — 12 Nodes, Whole World (seconds)</t>
  </si>
  <si>
    <t>System</t>
  </si>
  <si>
    <t>Storage</t>
  </si>
  <si>
    <t>Status</t>
  </si>
  <si>
    <t>Sedona</t>
  </si>
  <si>
    <t>HDFS</t>
  </si>
  <si>
    <t>Completed</t>
  </si>
  <si>
    <t>Need to check this once</t>
  </si>
  <si>
    <t>AsterixDB PBSM</t>
  </si>
  <si>
    <t>AsterixDB</t>
  </si>
  <si>
    <t>AsterixDB PBSM Optimized</t>
  </si>
  <si>
    <t>AsterixDB Nested Loop Join</t>
  </si>
  <si>
    <t>Aborted (~45 hrs)</t>
  </si>
  <si>
    <t>Note: Nested Loop Join aborted after ~45 hours. PBSM Optimized uses 1.2M grid.</t>
  </si>
  <si>
    <t>6. Whole World Spatial Join — Memory-Constrained (seconds)</t>
  </si>
  <si>
    <t>Speedup vs Sedona</t>
  </si>
  <si>
    <t>Note: Dataset exceeds aggregate cluster memory. Demonstrates disk-based processing resilience.</t>
  </si>
  <si>
    <t>7. Range Query — Indexed vs Full Scan (seconds)</t>
  </si>
  <si>
    <t>Region</t>
  </si>
  <si>
    <t>Records</t>
  </si>
  <si>
    <t>Selectivity</t>
  </si>
  <si>
    <t>Indexed (s)</t>
  </si>
  <si>
    <t>Scan (s)</t>
  </si>
  <si>
    <t>Speedup</t>
  </si>
  <si>
    <t>SF (0.02°)</t>
  </si>
  <si>
    <t>SF (0.04°)</t>
  </si>
  <si>
    <t>Bay Area</t>
  </si>
  <si>
    <t>NorCal</t>
  </si>
  <si>
    <t>West USA</t>
  </si>
  <si>
    <t>E. Hemisphere</t>
  </si>
  <si>
    <t>World</t>
  </si>
  <si>
    <t>Note: Index advantage is dramatic at low selectivity. At 100% (World), scan is faster — no index overhead.</t>
  </si>
  <si>
    <t>8. Horizontal Scale-Out — USA Subset (seconds)</t>
  </si>
  <si>
    <t>4 Nodes</t>
  </si>
  <si>
    <t>8 Nodes</t>
  </si>
  <si>
    <t>12 Nodes</t>
  </si>
  <si>
    <t>Speedup 4→12</t>
  </si>
  <si>
    <t>Data Loading - All Nodes</t>
  </si>
  <si>
    <t>Data Loading - Buildings</t>
  </si>
  <si>
    <t>Spatial Join - PBSM</t>
  </si>
  <si>
    <t>Spatial Join - Optimized</t>
  </si>
  <si>
    <t>Range All Nodes (Golden Gate)</t>
  </si>
  <si>
    <t>Range Buildings (Golden Gate)</t>
  </si>
  <si>
    <t>Spatial Agg - Avg Building</t>
  </si>
  <si>
    <t>Spatial Agg - Min X All Nodes</t>
  </si>
  <si>
    <t>Index Creation - All Nodes</t>
  </si>
  <si>
    <t>Index Creation - Buildings</t>
  </si>
  <si>
    <t>Note: Near-linear scaling for data loading and index creation. Spatial join scaling depends on data skew.</t>
  </si>
  <si>
    <t>9. Sedona vs AsterixDB — Other Spatial Queries, 12 Nodes (seconds)</t>
  </si>
  <si>
    <t>Query</t>
  </si>
  <si>
    <t>AsterixDB (Ext.)</t>
  </si>
  <si>
    <t>Spatial Agg - Buildings Avg Area</t>
  </si>
  <si>
    <t>Spatial Agg - All Nodes Min X</t>
  </si>
  <si>
    <t>Range (no idx) Buildings Near Golden Gate</t>
  </si>
  <si>
    <t>Range (no idx) All Nodes Near Golden Gate</t>
  </si>
  <si>
    <t>Note: 'Extended' = AsterixDB on Whole World dataset. Sedona and base AsterixDB both use USA subset.</t>
  </si>
  <si>
    <t>10. Real-World Analytical Use Cases (seconds)</t>
  </si>
  <si>
    <t>Use Case</t>
  </si>
  <si>
    <t>CA Points-in-Polygon</t>
  </si>
  <si>
    <t>A-Full Index</t>
  </si>
  <si>
    <t>A-No Index</t>
  </si>
  <si>
    <t>Self Spatial Join - Buildings</t>
  </si>
  <si>
    <t>Multi-Index Group-By</t>
  </si>
  <si>
    <t>A-BTree Only</t>
  </si>
  <si>
    <t>A-RTree Only</t>
  </si>
  <si>
    <t>Multi-Index Count</t>
  </si>
  <si>
    <t>Note: A-Full = RTree+BTree. Green highlight = best time per use case.</t>
  </si>
  <si>
    <t>11. OGC (JTS) vs Legacy Geometry in AsterixDB (seconds)</t>
  </si>
  <si>
    <t>SF Window Range Query (ST_Intersects)</t>
  </si>
  <si>
    <t>Geometry</t>
  </si>
  <si>
    <t>No Index (s)</t>
  </si>
  <si>
    <t>Index Speedup</t>
  </si>
  <si>
    <t>OGC (JTS)</t>
  </si>
  <si>
    <t>Legacy</t>
  </si>
  <si>
    <t>Aggregation Queries (Scan-Based)</t>
  </si>
  <si>
    <t>OGC (s)</t>
  </si>
  <si>
    <t>Legacy (s)</t>
  </si>
  <si>
    <t>MAX Area Aggregation</t>
  </si>
  <si>
    <t>Legacy faster (simpler geometry)</t>
  </si>
  <si>
    <t>MIN X Aggregation</t>
  </si>
  <si>
    <t>Note: OGC/JTS much faster for indexed queries. Legacy slightly faster for scan-based aggregations (simpler representation).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</si>
</sst>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\×"/>
  </numFmts>
  <fonts count="11">
    <font>
      <sz val="11.0"/>
      <color theme="1"/>
      <name val="Calibri"/>
      <scheme val="minor"/>
    </font>
    <font>
      <b/>
      <sz val="12.0"/>
      <color rgb="FF2F5496"/>
      <name val="Arial"/>
    </font>
    <font/>
    <font>
      <b/>
      <sz val="10.0"/>
      <color rgb="FF2F5496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10.0"/>
      <color theme="1"/>
      <name val="Arial"/>
    </font>
    <font>
      <color theme="1"/>
      <name val="Calibri"/>
      <scheme val="minor"/>
    </font>
    <font>
      <i/>
      <sz val="10.0"/>
      <color rgb="FFFF0000"/>
      <name val="Arial"/>
    </font>
    <font>
      <b/>
      <sz val="10.0"/>
      <color rgb="FF00B05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E9EFF7"/>
        <bgColor rgb="FFE9EFF7"/>
      </patternFill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5" numFmtId="4" xfId="0" applyAlignment="1" applyBorder="1" applyFont="1" applyNumberFormat="1">
      <alignment horizontal="right" shrinkToFit="0" vertical="center" wrapText="0"/>
    </xf>
    <xf borderId="4" fillId="6" fontId="5" numFmtId="0" xfId="0" applyAlignment="1" applyBorder="1" applyFill="1" applyFont="1">
      <alignment horizontal="left" shrinkToFit="0" vertical="center" wrapText="1"/>
    </xf>
    <xf borderId="4" fillId="6" fontId="5" numFmtId="4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7" fontId="7" numFmtId="164" xfId="0" applyAlignment="1" applyBorder="1" applyFill="1" applyFont="1" applyNumberFormat="1">
      <alignment horizontal="right" shrinkToFit="0" vertical="center" wrapText="0"/>
    </xf>
    <xf borderId="4" fillId="6" fontId="5" numFmtId="3" xfId="0" applyAlignment="1" applyBorder="1" applyFont="1" applyNumberFormat="1">
      <alignment horizontal="right" shrinkToFit="0" vertical="center" wrapText="0"/>
    </xf>
    <xf borderId="4" fillId="5" fontId="5" numFmtId="3" xfId="0" applyAlignment="1" applyBorder="1" applyFont="1" applyNumberFormat="1">
      <alignment horizontal="right" shrinkToFit="0" vertical="center" wrapText="0"/>
    </xf>
    <xf borderId="0" fillId="0" fontId="8" numFmtId="0" xfId="0" applyAlignment="1" applyFont="1">
      <alignment readingOrder="0"/>
    </xf>
    <xf borderId="4" fillId="6" fontId="9" numFmtId="0" xfId="0" applyAlignment="1" applyBorder="1" applyFont="1">
      <alignment horizontal="left" shrinkToFit="0" vertical="center" wrapText="1"/>
    </xf>
    <xf borderId="4" fillId="6" fontId="5" numFmtId="10" xfId="0" applyAlignment="1" applyBorder="1" applyFont="1" applyNumberFormat="1">
      <alignment horizontal="right" shrinkToFit="0" vertical="center" wrapText="0"/>
    </xf>
    <xf borderId="4" fillId="5" fontId="5" numFmtId="10" xfId="0" applyAlignment="1" applyBorder="1" applyFont="1" applyNumberFormat="1">
      <alignment horizontal="right" shrinkToFit="0" vertical="center" wrapText="0"/>
    </xf>
    <xf borderId="1" fillId="3" fontId="3" numFmtId="0" xfId="0" applyAlignment="1" applyBorder="1" applyFont="1">
      <alignment shrinkToFit="0" vertical="bottom" wrapText="0"/>
    </xf>
    <xf borderId="4" fillId="7" fontId="10" numFmtId="4" xfId="0" applyAlignment="1" applyBorder="1" applyFont="1" applyNumberFormat="1">
      <alignment horizontal="right" shrinkToFit="0" vertical="center" wrapText="0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5" width="18.0"/>
    <col customWidth="1" min="6" max="7" width="16.0"/>
    <col customWidth="1" min="8" max="8" width="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 t="s">
        <v>1</v>
      </c>
      <c r="C2" s="6"/>
      <c r="D2" s="5" t="s">
        <v>2</v>
      </c>
      <c r="E2" s="6"/>
      <c r="F2" s="5" t="s">
        <v>3</v>
      </c>
      <c r="G2" s="6"/>
    </row>
    <row r="3">
      <c r="A3" s="7" t="s">
        <v>4</v>
      </c>
      <c r="B3" s="7" t="s">
        <v>5</v>
      </c>
      <c r="C3" s="7" t="s">
        <v>6</v>
      </c>
      <c r="D3" s="7" t="s">
        <v>5</v>
      </c>
      <c r="E3" s="7" t="s">
        <v>6</v>
      </c>
      <c r="F3" s="7" t="s">
        <v>5</v>
      </c>
      <c r="G3" s="7" t="s">
        <v>6</v>
      </c>
      <c r="H3" s="7"/>
    </row>
    <row r="4">
      <c r="A4" s="8" t="s">
        <v>7</v>
      </c>
      <c r="B4" s="9">
        <v>41.41</v>
      </c>
      <c r="C4" s="9">
        <v>286.88</v>
      </c>
      <c r="D4" s="9">
        <v>453.14</v>
      </c>
      <c r="E4" s="9">
        <v>683.54</v>
      </c>
      <c r="F4" s="9">
        <v>65.36</v>
      </c>
      <c r="G4" s="9">
        <v>427.85</v>
      </c>
    </row>
    <row r="5">
      <c r="A5" s="10" t="s">
        <v>8</v>
      </c>
      <c r="B5" s="11">
        <v>16.77</v>
      </c>
      <c r="C5" s="11">
        <v>844.87</v>
      </c>
      <c r="D5" s="11">
        <v>294.48</v>
      </c>
      <c r="E5" s="11">
        <v>6741.93</v>
      </c>
      <c r="F5" s="11">
        <v>476.12</v>
      </c>
      <c r="G5" s="11">
        <v>9286.38</v>
      </c>
    </row>
    <row r="6" ht="15.0" customHeight="1">
      <c r="A6" s="12" t="s">
        <v>9</v>
      </c>
    </row>
    <row r="8">
      <c r="A8" s="1" t="s">
        <v>10</v>
      </c>
      <c r="B8" s="2"/>
      <c r="C8" s="2"/>
      <c r="D8" s="2"/>
      <c r="E8" s="2"/>
      <c r="F8" s="2"/>
      <c r="G8" s="2"/>
      <c r="H8" s="3"/>
    </row>
    <row r="9">
      <c r="A9" s="7" t="s">
        <v>11</v>
      </c>
      <c r="B9" s="7" t="s">
        <v>1</v>
      </c>
      <c r="C9" s="7" t="s">
        <v>12</v>
      </c>
      <c r="D9" s="7" t="s">
        <v>3</v>
      </c>
      <c r="E9" s="7"/>
    </row>
    <row r="10">
      <c r="A10" s="8" t="s">
        <v>13</v>
      </c>
      <c r="B10" s="9">
        <v>3934.07</v>
      </c>
      <c r="C10" s="9">
        <v>21793.66</v>
      </c>
      <c r="D10" s="9">
        <v>35896.05</v>
      </c>
    </row>
    <row r="11">
      <c r="A11" s="10" t="s">
        <v>14</v>
      </c>
      <c r="B11" s="11">
        <v>503.05</v>
      </c>
      <c r="C11" s="11">
        <v>2305.07</v>
      </c>
      <c r="D11" s="11">
        <v>2707.78</v>
      </c>
    </row>
    <row r="12">
      <c r="A12" s="13" t="s">
        <v>15</v>
      </c>
      <c r="B12" s="14">
        <f t="shared" ref="B12:D12" si="1">B10/B11</f>
        <v>7.820435344</v>
      </c>
      <c r="C12" s="14">
        <f t="shared" si="1"/>
        <v>9.454662982</v>
      </c>
      <c r="D12" s="14">
        <f t="shared" si="1"/>
        <v>13.25663459</v>
      </c>
    </row>
    <row r="13" ht="15.0" customHeight="1">
      <c r="A13" s="12" t="s">
        <v>16</v>
      </c>
    </row>
    <row r="15">
      <c r="A15" s="1" t="s">
        <v>17</v>
      </c>
      <c r="B15" s="2"/>
      <c r="C15" s="2"/>
      <c r="D15" s="2"/>
      <c r="E15" s="2"/>
      <c r="F15" s="2"/>
      <c r="G15" s="2"/>
      <c r="H15" s="3"/>
    </row>
    <row r="16">
      <c r="A16" s="7" t="s">
        <v>18</v>
      </c>
      <c r="B16" s="7" t="s">
        <v>19</v>
      </c>
      <c r="C16" s="7" t="s">
        <v>20</v>
      </c>
      <c r="D16" s="7"/>
    </row>
    <row r="17">
      <c r="A17" s="15">
        <v>12000.0</v>
      </c>
      <c r="B17" s="11">
        <v>5876.69</v>
      </c>
      <c r="C17" s="10"/>
    </row>
    <row r="18">
      <c r="A18" s="16">
        <v>240007.0</v>
      </c>
      <c r="B18" s="9">
        <v>3311.28</v>
      </c>
      <c r="C18" s="8"/>
    </row>
    <row r="19">
      <c r="A19" s="15">
        <v>1200109.0</v>
      </c>
      <c r="B19" s="11">
        <v>2962.8</v>
      </c>
      <c r="C19" s="10" t="s">
        <v>21</v>
      </c>
    </row>
    <row r="20">
      <c r="A20" s="16">
        <v>2400109.0</v>
      </c>
      <c r="B20" s="9">
        <v>3205.26</v>
      </c>
      <c r="C20" s="8"/>
    </row>
    <row r="21" ht="15.75" customHeight="1">
      <c r="A21" s="15">
        <v>4800113.0</v>
      </c>
      <c r="B21" s="11">
        <v>10000.0</v>
      </c>
      <c r="C21" s="10" t="s">
        <v>22</v>
      </c>
    </row>
    <row r="22" ht="15.0" customHeight="1">
      <c r="A22" s="12" t="s">
        <v>23</v>
      </c>
    </row>
    <row r="23" ht="15.75" customHeight="1"/>
    <row r="24" ht="15.75" customHeight="1">
      <c r="A24" s="1" t="s">
        <v>24</v>
      </c>
      <c r="B24" s="2"/>
      <c r="C24" s="2"/>
      <c r="D24" s="2"/>
      <c r="E24" s="2"/>
      <c r="F24" s="2"/>
      <c r="G24" s="2"/>
      <c r="H24" s="3"/>
    </row>
    <row r="25" ht="15.0" customHeight="1">
      <c r="A25" s="4"/>
      <c r="B25" s="5" t="s">
        <v>1</v>
      </c>
      <c r="C25" s="6"/>
      <c r="D25" s="5" t="s">
        <v>12</v>
      </c>
      <c r="E25" s="6"/>
      <c r="F25" s="5" t="s">
        <v>3</v>
      </c>
      <c r="G25" s="6"/>
    </row>
    <row r="26" ht="15.75" customHeight="1">
      <c r="A26" s="7" t="s">
        <v>25</v>
      </c>
      <c r="B26" s="7" t="s">
        <v>26</v>
      </c>
      <c r="C26" s="7" t="s">
        <v>27</v>
      </c>
      <c r="D26" s="7" t="s">
        <v>26</v>
      </c>
      <c r="E26" s="7" t="s">
        <v>27</v>
      </c>
      <c r="F26" s="7" t="s">
        <v>26</v>
      </c>
      <c r="G26" s="7" t="s">
        <v>27</v>
      </c>
      <c r="H26" s="7"/>
    </row>
    <row r="27" ht="15.75" customHeight="1">
      <c r="A27" s="10" t="s">
        <v>28</v>
      </c>
      <c r="B27" s="11">
        <v>223.11</v>
      </c>
      <c r="C27" s="11">
        <v>0.87</v>
      </c>
      <c r="D27" s="11">
        <v>818.95</v>
      </c>
      <c r="E27" s="11">
        <v>0.861</v>
      </c>
      <c r="F27" s="11">
        <v>972.9</v>
      </c>
      <c r="G27" s="11">
        <v>0.916</v>
      </c>
    </row>
    <row r="28" ht="15.75" customHeight="1">
      <c r="A28" s="8" t="s">
        <v>29</v>
      </c>
      <c r="B28" s="9">
        <v>231.05</v>
      </c>
      <c r="C28" s="9">
        <v>175.8</v>
      </c>
      <c r="D28" s="9">
        <v>823.34</v>
      </c>
      <c r="E28" s="9">
        <v>176.57</v>
      </c>
      <c r="F28" s="9">
        <v>996.7</v>
      </c>
      <c r="G28" s="9">
        <v>212.3</v>
      </c>
    </row>
    <row r="29" ht="15.75" customHeight="1">
      <c r="A29" s="10" t="s">
        <v>30</v>
      </c>
      <c r="B29" s="11">
        <v>285.8</v>
      </c>
      <c r="C29" s="11">
        <v>1530.46</v>
      </c>
      <c r="D29" s="11">
        <v>865.1</v>
      </c>
      <c r="E29" s="11">
        <v>1425.0</v>
      </c>
      <c r="F29" s="11">
        <v>1029.53</v>
      </c>
      <c r="G29" s="11">
        <v>1719.97</v>
      </c>
    </row>
    <row r="30" ht="15.0" customHeight="1">
      <c r="A30" s="12" t="s">
        <v>31</v>
      </c>
    </row>
    <row r="31" ht="15.75" customHeight="1"/>
    <row r="32" ht="15.75" customHeight="1">
      <c r="A32" s="1" t="s">
        <v>32</v>
      </c>
      <c r="B32" s="2"/>
      <c r="C32" s="2"/>
      <c r="D32" s="2"/>
      <c r="E32" s="2"/>
      <c r="F32" s="2"/>
      <c r="G32" s="2"/>
      <c r="H32" s="3"/>
    </row>
    <row r="33" ht="15.75" customHeight="1">
      <c r="A33" s="7" t="s">
        <v>33</v>
      </c>
      <c r="B33" s="7" t="s">
        <v>19</v>
      </c>
      <c r="C33" s="7" t="s">
        <v>34</v>
      </c>
      <c r="D33" s="7" t="s">
        <v>35</v>
      </c>
      <c r="E33" s="7"/>
    </row>
    <row r="34" ht="15.75" customHeight="1">
      <c r="A34" s="8" t="s">
        <v>36</v>
      </c>
      <c r="B34" s="9">
        <v>77190.165</v>
      </c>
      <c r="C34" s="8" t="s">
        <v>37</v>
      </c>
      <c r="D34" s="8" t="s">
        <v>38</v>
      </c>
      <c r="E34" s="17" t="s">
        <v>39</v>
      </c>
    </row>
    <row r="35" ht="15.75" customHeight="1">
      <c r="A35" s="10" t="s">
        <v>40</v>
      </c>
      <c r="B35" s="11">
        <v>35896.05</v>
      </c>
      <c r="C35" s="10" t="s">
        <v>41</v>
      </c>
      <c r="D35" s="10" t="s">
        <v>38</v>
      </c>
    </row>
    <row r="36" ht="15.75" customHeight="1">
      <c r="A36" s="8" t="s">
        <v>42</v>
      </c>
      <c r="B36" s="9">
        <v>2707.78</v>
      </c>
      <c r="C36" s="8" t="s">
        <v>41</v>
      </c>
      <c r="D36" s="8" t="s">
        <v>38</v>
      </c>
    </row>
    <row r="37" ht="15.75" customHeight="1">
      <c r="A37" s="10" t="s">
        <v>43</v>
      </c>
      <c r="B37" s="11">
        <v>162000.0</v>
      </c>
      <c r="C37" s="10" t="s">
        <v>41</v>
      </c>
      <c r="D37" s="18" t="s">
        <v>44</v>
      </c>
    </row>
    <row r="38" ht="15.0" customHeight="1">
      <c r="A38" s="12" t="s">
        <v>45</v>
      </c>
    </row>
    <row r="39" ht="15.75" customHeight="1"/>
    <row r="40" ht="15.75" customHeight="1">
      <c r="A40" s="1" t="s">
        <v>46</v>
      </c>
      <c r="B40" s="2"/>
      <c r="C40" s="2"/>
      <c r="D40" s="2"/>
      <c r="E40" s="2"/>
      <c r="F40" s="2"/>
      <c r="G40" s="2"/>
      <c r="H40" s="3"/>
    </row>
    <row r="41" ht="15.75" customHeight="1">
      <c r="A41" s="7" t="s">
        <v>33</v>
      </c>
      <c r="B41" s="7" t="s">
        <v>34</v>
      </c>
      <c r="C41" s="7" t="s">
        <v>19</v>
      </c>
      <c r="D41" s="7" t="s">
        <v>47</v>
      </c>
      <c r="E41" s="7"/>
    </row>
    <row r="42" ht="15.75" customHeight="1">
      <c r="A42" s="8" t="s">
        <v>36</v>
      </c>
      <c r="B42" s="8" t="s">
        <v>37</v>
      </c>
      <c r="C42" s="9">
        <v>190915.1</v>
      </c>
      <c r="D42" s="14">
        <f t="shared" ref="D42:D44" si="2">$C$42/C42</f>
        <v>1</v>
      </c>
      <c r="E42" s="17" t="s">
        <v>39</v>
      </c>
    </row>
    <row r="43" ht="15.75" customHeight="1">
      <c r="A43" s="10" t="s">
        <v>40</v>
      </c>
      <c r="B43" s="10" t="s">
        <v>41</v>
      </c>
      <c r="C43" s="11">
        <v>68424.86</v>
      </c>
      <c r="D43" s="14">
        <f t="shared" si="2"/>
        <v>2.790142355</v>
      </c>
    </row>
    <row r="44" ht="15.75" customHeight="1">
      <c r="A44" s="8" t="s">
        <v>42</v>
      </c>
      <c r="B44" s="8" t="s">
        <v>41</v>
      </c>
      <c r="C44" s="9">
        <v>10611.45</v>
      </c>
      <c r="D44" s="14">
        <f t="shared" si="2"/>
        <v>17.99142436</v>
      </c>
    </row>
    <row r="45" ht="15.0" customHeight="1">
      <c r="A45" s="12" t="s">
        <v>48</v>
      </c>
    </row>
    <row r="46" ht="15.75" customHeight="1"/>
    <row r="47" ht="15.75" customHeight="1">
      <c r="A47" s="1" t="s">
        <v>49</v>
      </c>
      <c r="B47" s="2"/>
      <c r="C47" s="2"/>
      <c r="D47" s="2"/>
      <c r="E47" s="2"/>
      <c r="F47" s="2"/>
      <c r="G47" s="2"/>
      <c r="H47" s="3"/>
    </row>
    <row r="48" ht="15.75" customHeight="1">
      <c r="A48" s="7" t="s">
        <v>50</v>
      </c>
      <c r="B48" s="7" t="s">
        <v>51</v>
      </c>
      <c r="C48" s="7" t="s">
        <v>52</v>
      </c>
      <c r="D48" s="7" t="s">
        <v>53</v>
      </c>
      <c r="E48" s="7" t="s">
        <v>54</v>
      </c>
      <c r="F48" s="7" t="s">
        <v>55</v>
      </c>
      <c r="G48" s="7"/>
    </row>
    <row r="49" ht="15.75" customHeight="1">
      <c r="A49" s="10" t="s">
        <v>56</v>
      </c>
      <c r="B49" s="15">
        <v>938.0</v>
      </c>
      <c r="C49" s="19">
        <v>9.44248583888856E-6</v>
      </c>
      <c r="D49" s="11">
        <v>1.212</v>
      </c>
      <c r="E49" s="11">
        <v>43.99</v>
      </c>
      <c r="F49" s="14">
        <f t="shared" ref="F49:F56" si="3">E49/D49</f>
        <v>36.29537954</v>
      </c>
    </row>
    <row r="50" ht="15.75" customHeight="1">
      <c r="A50" s="8" t="s">
        <v>57</v>
      </c>
      <c r="B50" s="16">
        <v>3833.0</v>
      </c>
      <c r="C50" s="20">
        <v>3.85853392542216E-5</v>
      </c>
      <c r="D50" s="9">
        <v>0.05768</v>
      </c>
      <c r="E50" s="9">
        <v>27.64</v>
      </c>
      <c r="F50" s="14">
        <f t="shared" si="3"/>
        <v>479.1955617</v>
      </c>
    </row>
    <row r="51" ht="15.75" customHeight="1">
      <c r="A51" s="10" t="s">
        <v>58</v>
      </c>
      <c r="B51" s="15">
        <v>67353.0</v>
      </c>
      <c r="C51" s="19">
        <v>6.7801678966595E-4</v>
      </c>
      <c r="D51" s="11">
        <v>1.42</v>
      </c>
      <c r="E51" s="11">
        <v>26.9</v>
      </c>
      <c r="F51" s="14">
        <f t="shared" si="3"/>
        <v>18.94366197</v>
      </c>
    </row>
    <row r="52" ht="15.75" customHeight="1">
      <c r="A52" s="8" t="s">
        <v>59</v>
      </c>
      <c r="B52" s="16">
        <v>281798.0</v>
      </c>
      <c r="C52" s="20">
        <v>0.00283675226484768</v>
      </c>
      <c r="D52" s="9">
        <v>4.0</v>
      </c>
      <c r="E52" s="9">
        <v>23.79</v>
      </c>
      <c r="F52" s="14">
        <f t="shared" si="3"/>
        <v>5.9475</v>
      </c>
    </row>
    <row r="53" ht="15.75" customHeight="1">
      <c r="A53" s="10" t="s">
        <v>60</v>
      </c>
      <c r="B53" s="15">
        <v>3040377.0</v>
      </c>
      <c r="C53" s="19">
        <v>0.0306063078543523</v>
      </c>
      <c r="D53" s="11">
        <v>22.0</v>
      </c>
      <c r="E53" s="11">
        <v>25.027</v>
      </c>
      <c r="F53" s="14">
        <f t="shared" si="3"/>
        <v>1.137590909</v>
      </c>
    </row>
    <row r="54" ht="15.75" customHeight="1">
      <c r="A54" s="8" t="s">
        <v>12</v>
      </c>
      <c r="B54" s="16">
        <v>3.1819657E7</v>
      </c>
      <c r="C54" s="20">
        <v>0.320316269318541</v>
      </c>
      <c r="D54" s="9">
        <v>24.4</v>
      </c>
      <c r="E54" s="9">
        <v>30.0</v>
      </c>
      <c r="F54" s="14">
        <f t="shared" si="3"/>
        <v>1.229508197</v>
      </c>
    </row>
    <row r="55" ht="15.75" customHeight="1">
      <c r="A55" s="10" t="s">
        <v>61</v>
      </c>
      <c r="B55" s="15">
        <v>6.7518605E7</v>
      </c>
      <c r="C55" s="19">
        <v>0.679683871614084</v>
      </c>
      <c r="D55" s="11">
        <v>55.579</v>
      </c>
      <c r="E55" s="11">
        <v>25.04</v>
      </c>
      <c r="F55" s="14">
        <f t="shared" si="3"/>
        <v>0.4505298764</v>
      </c>
    </row>
    <row r="56" ht="15.75" customHeight="1">
      <c r="A56" s="8" t="s">
        <v>62</v>
      </c>
      <c r="B56" s="16">
        <v>9.9338248E7</v>
      </c>
      <c r="C56" s="20">
        <v>1.0</v>
      </c>
      <c r="D56" s="9">
        <v>95.35</v>
      </c>
      <c r="E56" s="9">
        <v>28.9</v>
      </c>
      <c r="F56" s="14">
        <f t="shared" si="3"/>
        <v>0.3030938647</v>
      </c>
    </row>
    <row r="57" ht="15.0" customHeight="1">
      <c r="A57" s="12" t="s">
        <v>63</v>
      </c>
    </row>
    <row r="58" ht="15.75" customHeight="1"/>
    <row r="59" ht="15.75" customHeight="1">
      <c r="A59" s="1" t="s">
        <v>64</v>
      </c>
      <c r="B59" s="2"/>
      <c r="C59" s="2"/>
      <c r="D59" s="2"/>
      <c r="E59" s="2"/>
      <c r="F59" s="2"/>
      <c r="G59" s="2"/>
      <c r="H59" s="3"/>
    </row>
    <row r="60" ht="15.75" customHeight="1">
      <c r="A60" s="7" t="s">
        <v>4</v>
      </c>
      <c r="B60" s="7" t="s">
        <v>65</v>
      </c>
      <c r="C60" s="7" t="s">
        <v>66</v>
      </c>
      <c r="D60" s="7" t="s">
        <v>67</v>
      </c>
      <c r="E60" s="7" t="s">
        <v>68</v>
      </c>
      <c r="F60" s="7"/>
    </row>
    <row r="61" ht="15.75" customHeight="1">
      <c r="A61" s="10" t="s">
        <v>69</v>
      </c>
      <c r="B61" s="11">
        <v>4150.64</v>
      </c>
      <c r="C61" s="11">
        <v>2434.83</v>
      </c>
      <c r="D61" s="11">
        <v>1286.88</v>
      </c>
      <c r="E61" s="14">
        <f t="shared" ref="E61:E70" si="4">B61/D61</f>
        <v>3.225351237</v>
      </c>
    </row>
    <row r="62" ht="15.75" customHeight="1">
      <c r="A62" s="8" t="s">
        <v>70</v>
      </c>
      <c r="B62" s="9">
        <v>117.2</v>
      </c>
      <c r="C62" s="9">
        <v>74.75</v>
      </c>
      <c r="D62" s="9">
        <v>41.4</v>
      </c>
      <c r="E62" s="14">
        <f t="shared" si="4"/>
        <v>2.830917874</v>
      </c>
    </row>
    <row r="63" ht="15.75" customHeight="1">
      <c r="A63" s="10" t="s">
        <v>71</v>
      </c>
      <c r="B63" s="11">
        <v>8381.64</v>
      </c>
      <c r="C63" s="11">
        <v>6481.74</v>
      </c>
      <c r="D63" s="11">
        <v>3934.07</v>
      </c>
      <c r="E63" s="14">
        <f t="shared" si="4"/>
        <v>2.130526401</v>
      </c>
    </row>
    <row r="64" ht="15.75" customHeight="1">
      <c r="A64" s="8" t="s">
        <v>72</v>
      </c>
      <c r="B64" s="9">
        <v>2117.88</v>
      </c>
      <c r="C64" s="9">
        <v>1033.29</v>
      </c>
      <c r="D64" s="9">
        <v>503.05</v>
      </c>
      <c r="E64" s="14">
        <f t="shared" si="4"/>
        <v>4.210078521</v>
      </c>
    </row>
    <row r="65" ht="15.75" customHeight="1">
      <c r="A65" s="10" t="s">
        <v>73</v>
      </c>
      <c r="B65" s="11">
        <v>495.23</v>
      </c>
      <c r="C65" s="11">
        <v>258.75</v>
      </c>
      <c r="D65" s="11">
        <v>138.48</v>
      </c>
      <c r="E65" s="14">
        <f t="shared" si="4"/>
        <v>3.576184287</v>
      </c>
    </row>
    <row r="66" ht="15.75" customHeight="1">
      <c r="A66" s="8" t="s">
        <v>74</v>
      </c>
      <c r="B66" s="9">
        <v>14.93</v>
      </c>
      <c r="C66" s="9">
        <v>9.91</v>
      </c>
      <c r="D66" s="9">
        <v>4.39</v>
      </c>
      <c r="E66" s="14">
        <f t="shared" si="4"/>
        <v>3.400911162</v>
      </c>
    </row>
    <row r="67" ht="15.75" customHeight="1">
      <c r="A67" s="10" t="s">
        <v>75</v>
      </c>
      <c r="B67" s="11">
        <v>8.93</v>
      </c>
      <c r="C67" s="11">
        <v>4.4</v>
      </c>
      <c r="D67" s="11">
        <v>3.71</v>
      </c>
      <c r="E67" s="14">
        <f t="shared" si="4"/>
        <v>2.407008086</v>
      </c>
    </row>
    <row r="68" ht="15.75" customHeight="1">
      <c r="A68" s="8" t="s">
        <v>76</v>
      </c>
      <c r="B68" s="9">
        <v>370.94</v>
      </c>
      <c r="C68" s="9">
        <v>196.87</v>
      </c>
      <c r="D68" s="9">
        <v>120.61</v>
      </c>
      <c r="E68" s="14">
        <f t="shared" si="4"/>
        <v>3.075532709</v>
      </c>
    </row>
    <row r="69" ht="15.75" customHeight="1">
      <c r="A69" s="10" t="s">
        <v>77</v>
      </c>
      <c r="B69" s="11">
        <v>2872.6</v>
      </c>
      <c r="C69" s="11">
        <v>1382.94</v>
      </c>
      <c r="D69" s="11">
        <v>844.67</v>
      </c>
      <c r="E69" s="14">
        <f t="shared" si="4"/>
        <v>3.400854772</v>
      </c>
    </row>
    <row r="70" ht="15.75" customHeight="1">
      <c r="A70" s="8" t="s">
        <v>78</v>
      </c>
      <c r="B70" s="9">
        <v>42.23</v>
      </c>
      <c r="C70" s="9">
        <v>20.69</v>
      </c>
      <c r="D70" s="9">
        <v>16.87</v>
      </c>
      <c r="E70" s="14">
        <f t="shared" si="4"/>
        <v>2.503260225</v>
      </c>
    </row>
    <row r="71" ht="15.0" customHeight="1">
      <c r="A71" s="12" t="s">
        <v>79</v>
      </c>
    </row>
    <row r="72" ht="15.75" customHeight="1"/>
    <row r="73" ht="15.75" customHeight="1">
      <c r="A73" s="1" t="s">
        <v>80</v>
      </c>
      <c r="B73" s="2"/>
      <c r="C73" s="2"/>
      <c r="D73" s="2"/>
      <c r="E73" s="2"/>
      <c r="F73" s="2"/>
      <c r="G73" s="2"/>
      <c r="H73" s="3"/>
    </row>
    <row r="74" ht="15.75" customHeight="1">
      <c r="A74" s="7" t="s">
        <v>81</v>
      </c>
      <c r="B74" s="7" t="s">
        <v>36</v>
      </c>
      <c r="C74" s="7" t="s">
        <v>41</v>
      </c>
      <c r="D74" s="7" t="s">
        <v>82</v>
      </c>
      <c r="E74" s="7"/>
    </row>
    <row r="75" ht="15.75" customHeight="1">
      <c r="A75" s="10" t="s">
        <v>83</v>
      </c>
      <c r="B75" s="11">
        <v>44.2</v>
      </c>
      <c r="C75" s="11">
        <v>45.82</v>
      </c>
      <c r="D75" s="11">
        <v>369.59</v>
      </c>
    </row>
    <row r="76" ht="15.75" customHeight="1">
      <c r="A76" s="8" t="s">
        <v>84</v>
      </c>
      <c r="B76" s="9">
        <v>293.83</v>
      </c>
      <c r="C76" s="9">
        <v>534.6</v>
      </c>
      <c r="D76" s="9">
        <v>3138.39</v>
      </c>
    </row>
    <row r="77" ht="15.75" customHeight="1">
      <c r="A77" s="10" t="s">
        <v>85</v>
      </c>
      <c r="B77" s="11">
        <v>45.73</v>
      </c>
      <c r="C77" s="11">
        <v>65.73</v>
      </c>
      <c r="D77" s="11">
        <v>405.37</v>
      </c>
    </row>
    <row r="78" ht="15.75" customHeight="1">
      <c r="A78" s="8" t="s">
        <v>86</v>
      </c>
      <c r="B78" s="9">
        <v>302.59</v>
      </c>
      <c r="C78" s="9">
        <v>606.61</v>
      </c>
      <c r="D78" s="9">
        <v>3278.81</v>
      </c>
    </row>
    <row r="79" ht="15.0" customHeight="1">
      <c r="A79" s="12" t="s">
        <v>87</v>
      </c>
    </row>
    <row r="80" ht="15.75" customHeight="1"/>
    <row r="81" ht="15.75" customHeight="1">
      <c r="A81" s="1" t="s">
        <v>88</v>
      </c>
      <c r="B81" s="2"/>
      <c r="C81" s="2"/>
      <c r="D81" s="2"/>
      <c r="E81" s="2"/>
      <c r="F81" s="2"/>
      <c r="G81" s="2"/>
      <c r="H81" s="3"/>
    </row>
    <row r="82" ht="15.75" customHeight="1">
      <c r="A82" s="7" t="s">
        <v>89</v>
      </c>
      <c r="B82" s="7" t="s">
        <v>33</v>
      </c>
      <c r="C82" s="7" t="s">
        <v>19</v>
      </c>
      <c r="D82" s="7"/>
    </row>
    <row r="83" ht="15.75" customHeight="1">
      <c r="A83" s="21" t="s">
        <v>90</v>
      </c>
      <c r="B83" s="2"/>
      <c r="C83" s="3"/>
    </row>
    <row r="84" ht="15.75" customHeight="1">
      <c r="A84" s="8"/>
      <c r="B84" s="8" t="s">
        <v>36</v>
      </c>
      <c r="C84" s="9">
        <v>147.249</v>
      </c>
    </row>
    <row r="85" ht="15.75" customHeight="1">
      <c r="A85" s="10"/>
      <c r="B85" s="10" t="s">
        <v>91</v>
      </c>
      <c r="C85" s="22">
        <v>27.02</v>
      </c>
    </row>
    <row r="86" ht="15.75" customHeight="1">
      <c r="A86" s="8"/>
      <c r="B86" s="8" t="s">
        <v>92</v>
      </c>
      <c r="C86" s="9">
        <v>108.45</v>
      </c>
    </row>
    <row r="87" ht="15.75" customHeight="1">
      <c r="A87" s="21" t="s">
        <v>93</v>
      </c>
      <c r="B87" s="2"/>
      <c r="C87" s="3"/>
    </row>
    <row r="88" ht="15.75" customHeight="1">
      <c r="A88" s="8"/>
      <c r="B88" s="8" t="s">
        <v>36</v>
      </c>
      <c r="C88" s="9">
        <v>99.5</v>
      </c>
    </row>
    <row r="89" ht="15.75" customHeight="1">
      <c r="A89" s="10"/>
      <c r="B89" s="10" t="s">
        <v>91</v>
      </c>
      <c r="C89" s="22">
        <v>8.1</v>
      </c>
    </row>
    <row r="90" ht="15.75" customHeight="1">
      <c r="A90" s="8"/>
      <c r="B90" s="8" t="s">
        <v>92</v>
      </c>
      <c r="C90" s="9">
        <v>41.3</v>
      </c>
    </row>
    <row r="91" ht="15.75" customHeight="1">
      <c r="A91" s="21" t="s">
        <v>94</v>
      </c>
      <c r="B91" s="2"/>
      <c r="C91" s="3"/>
    </row>
    <row r="92" ht="15.75" customHeight="1">
      <c r="A92" s="8"/>
      <c r="B92" s="8" t="s">
        <v>36</v>
      </c>
      <c r="C92" s="9">
        <v>92.056</v>
      </c>
    </row>
    <row r="93" ht="15.75" customHeight="1">
      <c r="A93" s="10"/>
      <c r="B93" s="10" t="s">
        <v>91</v>
      </c>
      <c r="C93" s="22">
        <v>0.211</v>
      </c>
    </row>
    <row r="94" ht="15.75" customHeight="1">
      <c r="A94" s="8"/>
      <c r="B94" s="8" t="s">
        <v>95</v>
      </c>
      <c r="C94" s="9">
        <v>16.8</v>
      </c>
    </row>
    <row r="95" ht="15.75" customHeight="1">
      <c r="A95" s="10"/>
      <c r="B95" s="10" t="s">
        <v>96</v>
      </c>
      <c r="C95" s="11">
        <v>0.303</v>
      </c>
    </row>
    <row r="96" ht="15.75" customHeight="1">
      <c r="A96" s="8"/>
      <c r="B96" s="8" t="s">
        <v>92</v>
      </c>
      <c r="C96" s="9">
        <v>76.67</v>
      </c>
    </row>
    <row r="97" ht="15.75" customHeight="1">
      <c r="A97" s="21" t="s">
        <v>97</v>
      </c>
      <c r="B97" s="2"/>
      <c r="C97" s="3"/>
    </row>
    <row r="98" ht="15.75" customHeight="1">
      <c r="A98" s="8"/>
      <c r="B98" s="8" t="s">
        <v>36</v>
      </c>
      <c r="C98" s="9">
        <v>162.902</v>
      </c>
    </row>
    <row r="99" ht="15.75" customHeight="1">
      <c r="A99" s="10"/>
      <c r="B99" s="10" t="s">
        <v>91</v>
      </c>
      <c r="C99" s="22">
        <v>1.6</v>
      </c>
    </row>
    <row r="100" ht="15.75" customHeight="1">
      <c r="A100" s="8"/>
      <c r="B100" s="8" t="s">
        <v>95</v>
      </c>
      <c r="C100" s="9">
        <v>10.28</v>
      </c>
    </row>
    <row r="101" ht="15.75" customHeight="1">
      <c r="A101" s="10"/>
      <c r="B101" s="10" t="s">
        <v>96</v>
      </c>
      <c r="C101" s="11">
        <v>3.3</v>
      </c>
    </row>
    <row r="102" ht="15.75" customHeight="1">
      <c r="A102" s="8"/>
      <c r="B102" s="8" t="s">
        <v>92</v>
      </c>
      <c r="C102" s="9">
        <v>65.8</v>
      </c>
    </row>
    <row r="103" ht="15.0" customHeight="1">
      <c r="A103" s="12" t="s">
        <v>98</v>
      </c>
    </row>
    <row r="104" ht="15.75" customHeight="1"/>
    <row r="105" ht="15.75" customHeight="1">
      <c r="A105" s="1" t="s">
        <v>99</v>
      </c>
      <c r="B105" s="2"/>
      <c r="C105" s="2"/>
      <c r="D105" s="2"/>
      <c r="E105" s="2"/>
      <c r="F105" s="2"/>
      <c r="G105" s="2"/>
      <c r="H105" s="3"/>
    </row>
    <row r="106" ht="15.0" customHeight="1">
      <c r="A106" s="5" t="s">
        <v>100</v>
      </c>
      <c r="B106" s="23"/>
      <c r="C106" s="23"/>
      <c r="D106" s="6"/>
    </row>
    <row r="107" ht="15.75" customHeight="1">
      <c r="A107" s="7" t="s">
        <v>101</v>
      </c>
      <c r="B107" s="7" t="s">
        <v>53</v>
      </c>
      <c r="C107" s="7" t="s">
        <v>102</v>
      </c>
      <c r="D107" s="7" t="s">
        <v>103</v>
      </c>
      <c r="E107" s="7"/>
    </row>
    <row r="108" ht="15.75" customHeight="1">
      <c r="A108" s="8" t="s">
        <v>104</v>
      </c>
      <c r="B108" s="9">
        <v>1.212</v>
      </c>
      <c r="C108" s="9">
        <v>43.99</v>
      </c>
      <c r="D108" s="14">
        <f t="shared" ref="D108:D109" si="5">C108/B108</f>
        <v>36.29537954</v>
      </c>
    </row>
    <row r="109" ht="15.75" customHeight="1">
      <c r="A109" s="10" t="s">
        <v>105</v>
      </c>
      <c r="B109" s="11">
        <v>21.2</v>
      </c>
      <c r="C109" s="11">
        <v>225.54</v>
      </c>
      <c r="D109" s="14">
        <f t="shared" si="5"/>
        <v>10.63867925</v>
      </c>
    </row>
    <row r="110" ht="15.75" customHeight="1"/>
    <row r="111" ht="15.0" customHeight="1">
      <c r="A111" s="5" t="s">
        <v>106</v>
      </c>
      <c r="B111" s="23"/>
      <c r="C111" s="23"/>
      <c r="D111" s="6"/>
    </row>
    <row r="112" ht="15.75" customHeight="1">
      <c r="A112" s="7" t="s">
        <v>81</v>
      </c>
      <c r="B112" s="7" t="s">
        <v>107</v>
      </c>
      <c r="C112" s="7" t="s">
        <v>108</v>
      </c>
      <c r="D112" s="7" t="s">
        <v>20</v>
      </c>
      <c r="E112" s="7"/>
    </row>
    <row r="113" ht="15.75" customHeight="1">
      <c r="A113" s="10" t="s">
        <v>109</v>
      </c>
      <c r="B113" s="11">
        <v>71.78</v>
      </c>
      <c r="C113" s="11">
        <v>57.75</v>
      </c>
      <c r="D113" s="10" t="s">
        <v>110</v>
      </c>
    </row>
    <row r="114" ht="15.75" customHeight="1">
      <c r="A114" s="8" t="s">
        <v>111</v>
      </c>
      <c r="B114" s="9">
        <v>31.779</v>
      </c>
      <c r="C114" s="9">
        <v>21.26</v>
      </c>
      <c r="D114" s="8" t="s">
        <v>110</v>
      </c>
    </row>
    <row r="115" ht="15.0" customHeight="1">
      <c r="A115" s="12" t="s">
        <v>112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H1"/>
    <mergeCell ref="B2:C2"/>
    <mergeCell ref="D2:E2"/>
    <mergeCell ref="F2:G2"/>
    <mergeCell ref="A6:H6"/>
    <mergeCell ref="A8:H8"/>
    <mergeCell ref="A13:H13"/>
    <mergeCell ref="A15:H15"/>
    <mergeCell ref="A22:H22"/>
    <mergeCell ref="A24:H24"/>
    <mergeCell ref="B25:C25"/>
    <mergeCell ref="D25:E25"/>
    <mergeCell ref="F25:G25"/>
    <mergeCell ref="A30:H30"/>
    <mergeCell ref="A32:H32"/>
    <mergeCell ref="A38:H38"/>
    <mergeCell ref="A40:H40"/>
    <mergeCell ref="A45:H45"/>
    <mergeCell ref="A47:H47"/>
    <mergeCell ref="A57:H57"/>
    <mergeCell ref="A59:H59"/>
    <mergeCell ref="A97:C97"/>
    <mergeCell ref="A103:H103"/>
    <mergeCell ref="A105:H105"/>
    <mergeCell ref="A106:D106"/>
    <mergeCell ref="A111:D111"/>
    <mergeCell ref="A115:H115"/>
    <mergeCell ref="A71:H71"/>
    <mergeCell ref="A73:H73"/>
    <mergeCell ref="A79:H79"/>
    <mergeCell ref="A81:H81"/>
    <mergeCell ref="A83:C83"/>
    <mergeCell ref="A87:C87"/>
    <mergeCell ref="A91:C91"/>
  </mergeCells>
  <printOptions/>
  <pageMargins bottom="1.0" footer="0.0" header="0.0" left="0.75" right="0.75" top="1.0"/>
  <pageSetup orientation="landscape"/>
  <drawing r:id="rId1"/>
</worksheet>
</file>